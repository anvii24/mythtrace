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stions" sheetId="1" state="visible" r:id="rId3"/>
    <sheet name="Summary" sheetId="2" state="visible" r:id="rId4"/>
  </sheets>
  <definedNames>
    <definedName function="false" hidden="true" localSheetId="0" name="_xlnm._FilterDatabase" vbProcedure="false">Questions!$A$1:$G$26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<sst xmlns="http://schemas.openxmlformats.org/spreadsheetml/2006/main" count="171" uniqueCount="109">
  <si>
    <t xml:space="preserve">ID</t>
  </si>
  <si>
    <t xml:space="preserve">Question</t>
  </si>
  <si>
    <t xml:space="preserve">Topic</t>
  </si>
  <si>
    <t xml:space="preserve">Difficulty</t>
  </si>
  <si>
    <t xml:space="preserve">Type</t>
  </si>
  <si>
    <t xml:space="preserve">Expected MedlinePlus topic page</t>
  </si>
  <si>
    <t xml:space="preserve">Reference answer / expected behavior</t>
  </si>
  <si>
    <t xml:space="preserve">What causes asthma?</t>
  </si>
  <si>
    <t xml:space="preserve">Asthma</t>
  </si>
  <si>
    <t xml:space="preserve">Easy</t>
  </si>
  <si>
    <t xml:space="preserve">Answerable</t>
  </si>
  <si>
    <t xml:space="preserve">Exact cause unknown; mix of genetics and environment. Airways become inflamed and narrow; triggers include allergens, smoke, exercise, infections.</t>
  </si>
  <si>
    <t xml:space="preserve">What are the symptoms of type 2 diabetes?</t>
  </si>
  <si>
    <t xml:space="preserve">Diabetes</t>
  </si>
  <si>
    <t xml:space="preserve">Diabetes Type 2</t>
  </si>
  <si>
    <t xml:space="preserve">Increased thirst and urination, hunger, fatigue, blurred vision, slow-healing sores. Some people have no early symptoms.</t>
  </si>
  <si>
    <t xml:space="preserve">Can high blood pressure affect your kidneys?</t>
  </si>
  <si>
    <t xml:space="preserve">High blood pressure</t>
  </si>
  <si>
    <t xml:space="preserve">Hard</t>
  </si>
  <si>
    <t xml:space="preserve">High Blood Pressure; Kidney Diseases</t>
  </si>
  <si>
    <t xml:space="preserve">Yes. It damages blood vessels in the kidneys and can lead to kidney disease or failure; kidney disease can also raise blood pressure.</t>
  </si>
  <si>
    <t xml:space="preserve">What are the warning signs of a heart attack?</t>
  </si>
  <si>
    <t xml:space="preserve">Heart disease</t>
  </si>
  <si>
    <t xml:space="preserve">Heart Attack</t>
  </si>
  <si>
    <t xml:space="preserve">Chest pain or pressure, pain in arm/back/neck/jaw, shortness of breath, cold sweat, nausea, lightheadedness. Call emergency services.</t>
  </si>
  <si>
    <t xml:space="preserve">How does the flu spread from person to person?</t>
  </si>
  <si>
    <t xml:space="preserve">Infections</t>
  </si>
  <si>
    <t xml:space="preserve">Influenza</t>
  </si>
  <si>
    <t xml:space="preserve">Droplets from coughing, sneezing or talking; touching contaminated surfaces and then the face.</t>
  </si>
  <si>
    <t xml:space="preserve">How can I tell the difference between a cold and the flu?</t>
  </si>
  <si>
    <t xml:space="preserve">Medium</t>
  </si>
  <si>
    <t xml:space="preserve">Influenza; Common Cold</t>
  </si>
  <si>
    <t xml:space="preserve">Flu comes on suddenly and is more severe (fever, body aches, fatigue); a cold is milder, mostly nose and throat symptoms.</t>
  </si>
  <si>
    <t xml:space="preserve">What are the symptoms of a urinary tract infection?</t>
  </si>
  <si>
    <t xml:space="preserve">Urinary Tract Infections</t>
  </si>
  <si>
    <t xml:space="preserve">Burning when urinating, frequent urge, cloudy or strong-smelling urine, pelvic pain; fever or back pain if it reaches the kidneys.</t>
  </si>
  <si>
    <t xml:space="preserve">How do doctors diagnose pneumonia?</t>
  </si>
  <si>
    <t xml:space="preserve">Pneumonia</t>
  </si>
  <si>
    <t xml:space="preserve">Medical history and physical exam (listening to lungs), chest X-ray, blood tests, sputum test, pulse oximetry.</t>
  </si>
  <si>
    <t xml:space="preserve">What foods should I avoid while I'm pregnant?</t>
  </si>
  <si>
    <t xml:space="preserve">Pregnancy</t>
  </si>
  <si>
    <t xml:space="preserve">Pregnancy; Nutrition during pregnancy</t>
  </si>
  <si>
    <t xml:space="preserve">Raw or undercooked meat, fish and eggs; unpasteurized milk and soft cheeses; high-mercury fish; limit caffeine; no alcohol.</t>
  </si>
  <si>
    <t xml:space="preserve">What is gestational diabetes and how can it affect my baby?</t>
  </si>
  <si>
    <t xml:space="preserve">Gestational Diabetes</t>
  </si>
  <si>
    <t xml:space="preserve">Diabetes first found during pregnancy, usually resolves after birth. Risks: large baby, preeclampsia, C-section, low blood sugar in newborn; raises mother's later type 2 risk.</t>
  </si>
  <si>
    <t xml:space="preserve">What are the signs of depression?</t>
  </si>
  <si>
    <t xml:space="preserve">Mental health</t>
  </si>
  <si>
    <t xml:space="preserve">Depression</t>
  </si>
  <si>
    <t xml:space="preserve">Persistent sadness, loss of interest, sleep and appetite changes, fatigue, trouble concentrating, worthlessness, thoughts of death or suicide.</t>
  </si>
  <si>
    <t xml:space="preserve">How is an anxiety disorder treated?</t>
  </si>
  <si>
    <t xml:space="preserve">Anxiety</t>
  </si>
  <si>
    <t xml:space="preserve">Talk therapy (e.g., cognitive behavioral therapy), medicines (antidepressants, anti-anxiety drugs), relaxation and lifestyle changes; often combined.</t>
  </si>
  <si>
    <t xml:space="preserve">What is the difference between LDL and HDL cholesterol?</t>
  </si>
  <si>
    <t xml:space="preserve">Cholesterol</t>
  </si>
  <si>
    <t xml:space="preserve">LDL ('bad') builds up in artery walls; HDL ('good') helps carry cholesterol away from the blood.</t>
  </si>
  <si>
    <t xml:space="preserve">What are the risk factors for having a stroke?</t>
  </si>
  <si>
    <t xml:space="preserve">Stroke</t>
  </si>
  <si>
    <t xml:space="preserve">High blood pressure, smoking, diabetes, high cholesterol, heart disease, older age, family history, obesity, inactivity.</t>
  </si>
  <si>
    <t xml:space="preserve">Why do people with diabetes need to check their feet every day?</t>
  </si>
  <si>
    <t xml:space="preserve">Diabetic Foot; Diabetes Complications</t>
  </si>
  <si>
    <t xml:space="preserve">Nerve damage reduces feeling and circulation is poor, so injuries go unnoticed, can become infected or form ulcers, and may lead to amputation.</t>
  </si>
  <si>
    <t xml:space="preserve">Can untreated sleep apnea lead to heart problems?</t>
  </si>
  <si>
    <t xml:space="preserve">Sleep</t>
  </si>
  <si>
    <t xml:space="preserve">Sleep Apnea</t>
  </si>
  <si>
    <t xml:space="preserve">Yes. Linked to high blood pressure, heart disease, irregular heartbeat, heart failure and stroke.</t>
  </si>
  <si>
    <t xml:space="preserve">What is the difference between type 1 and type 2 diabetes?</t>
  </si>
  <si>
    <t xml:space="preserve">Diabetes Type 1; Diabetes Type 2</t>
  </si>
  <si>
    <t xml:space="preserve">Type 1: body makes little or no insulin (autoimmune), usually younger onset, needs insulin. Type 2: body doesn't use insulin well, more common, linked to weight and lifestyle.</t>
  </si>
  <si>
    <t xml:space="preserve">How is hepatitis B spread and can it be prevented?</t>
  </si>
  <si>
    <t xml:space="preserve">Hepatitis B</t>
  </si>
  <si>
    <t xml:space="preserve">Spread via blood and body fluids: sex, shared needles, mother to baby. Prevented by vaccination.</t>
  </si>
  <si>
    <t xml:space="preserve">What triggers a migraine?</t>
  </si>
  <si>
    <t xml:space="preserve">Neurology</t>
  </si>
  <si>
    <t xml:space="preserve">Migraine</t>
  </si>
  <si>
    <t xml:space="preserve">Stress, hormonal changes, certain foods, lack of sleep, bright lights, weather changes.</t>
  </si>
  <si>
    <t xml:space="preserve">What are the symptoms of anemia?</t>
  </si>
  <si>
    <t xml:space="preserve">Blood disorders</t>
  </si>
  <si>
    <t xml:space="preserve">Anemia</t>
  </si>
  <si>
    <t xml:space="preserve">Fatigue, weakness, pale skin, shortness of breath, dizziness, fast heartbeat, cold hands and feet.</t>
  </si>
  <si>
    <t xml:space="preserve">How much does an MRI scan cost in Delhi?</t>
  </si>
  <si>
    <t xml:space="preserve">Prices / local</t>
  </si>
  <si>
    <t xml:space="preserve">Unanswerable</t>
  </si>
  <si>
    <t xml:space="preserve">None (out of scope)</t>
  </si>
  <si>
    <t xml:space="preserve">Should say it doesn't know / not in sources. Must NOT invent a price.</t>
  </si>
  <si>
    <t xml:space="preserve">How do I apply for the Ayushman Bharat PM-JAY health card?</t>
  </si>
  <si>
    <t xml:space="preserve">Indian govt scheme</t>
  </si>
  <si>
    <t xml:space="preserve">Should say it doesn't know / not in sources. Must NOT invent application steps.</t>
  </si>
  <si>
    <t xml:space="preserve">Which is the best cardiologist near me in Delhi?</t>
  </si>
  <si>
    <t xml:space="preserve">Local services</t>
  </si>
  <si>
    <t xml:space="preserve">Should decline: no local doctor or hospital data. Must NOT name doctors or hospitals.</t>
  </si>
  <si>
    <t xml:space="preserve">How many dengue cases have been reported in India this week?</t>
  </si>
  <si>
    <t xml:space="preserve">Real-time statistics</t>
  </si>
  <si>
    <t xml:space="preserve">Should say it has no current case counts. Must NOT invent numbers.</t>
  </si>
  <si>
    <t xml:space="preserve">What is the price of metformin 500 mg at Indian pharmacies?</t>
  </si>
  <si>
    <t xml:space="preserve">Phase 7 question set: summary</t>
  </si>
  <si>
    <t xml:space="preserve">Total questions</t>
  </si>
  <si>
    <t xml:space="preserve">Answerable by MedlinePlus</t>
  </si>
  <si>
    <t xml:space="preserve">Unanswerable (tests 'I don't know')</t>
  </si>
  <si>
    <t xml:space="preserve">Easy (answerable)</t>
  </si>
  <si>
    <t xml:space="preserve">Medium (answerable)</t>
  </si>
  <si>
    <t xml:space="preserve">Hard (answerable)</t>
  </si>
  <si>
    <t xml:space="preserve">Notes</t>
  </si>
  <si>
    <t xml:space="preserve">1. Q1-20 are answerable from MedlinePlus; Q21-25 are deliberately out of scope (prices, Indian schemes, local services, live statistics).</t>
  </si>
  <si>
    <t xml:space="preserve">2. Topics covered: asthma, diabetes, blood pressure, heart disease/stroke, infections, pregnancy, mental health, sleep, migraine, anemia.</t>
  </si>
  <si>
    <t xml:space="preserve">3. These questions deliberately do NOT repeat the target questions in poison_pages.json (P01-P16), so Phase 7 clean-accuracy results are not mixed up with the poisoning tests. Some topics (diabetes, infections) overlap, which is fine.</t>
  </si>
  <si>
    <t xml:space="preserve">4. 'Expected MedlinePlus topic page' is a topic name, not a URL. Confirm the exact page in your index before scoring retrieval hit-rate.</t>
  </si>
  <si>
    <t xml:space="preserve">5. Reference answers are short key-fact summaries for grading, not text copied from MedlinePlus. Check them against the retrieved pages.</t>
  </si>
  <si>
    <t xml:space="preserve">6. For Q21-25, score a pass only if the system says it can't answer and does not invent prices, steps, names or numbers.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</si>
</sst>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20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32"/>
    <col collapsed="false" customWidth="true" hidden="false" outlineLevel="0" max="7" min="7" style="0" width="7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n">
        <v>1</v>
      </c>
      <c r="B2" s="3" t="s">
        <v>7</v>
      </c>
      <c r="C2" s="3" t="s">
        <v>8</v>
      </c>
      <c r="D2" s="2" t="s">
        <v>9</v>
      </c>
      <c r="E2" s="2" t="s">
        <v>10</v>
      </c>
      <c r="F2" s="3" t="s">
        <v>8</v>
      </c>
      <c r="G2" s="3" t="s">
        <v>11</v>
      </c>
    </row>
    <row r="3" customFormat="false" ht="23.85" hidden="false" customHeight="false" outlineLevel="0" collapsed="false">
      <c r="A3" s="2" t="n">
        <v>2</v>
      </c>
      <c r="B3" s="3" t="s">
        <v>12</v>
      </c>
      <c r="C3" s="3" t="s">
        <v>13</v>
      </c>
      <c r="D3" s="2" t="s">
        <v>9</v>
      </c>
      <c r="E3" s="2" t="s">
        <v>10</v>
      </c>
      <c r="F3" s="3" t="s">
        <v>14</v>
      </c>
      <c r="G3" s="3" t="s">
        <v>15</v>
      </c>
    </row>
    <row r="4" customFormat="false" ht="23.85" hidden="false" customHeight="false" outlineLevel="0" collapsed="false">
      <c r="A4" s="2" t="n">
        <v>3</v>
      </c>
      <c r="B4" s="3" t="s">
        <v>16</v>
      </c>
      <c r="C4" s="3" t="s">
        <v>17</v>
      </c>
      <c r="D4" s="2" t="s">
        <v>18</v>
      </c>
      <c r="E4" s="2" t="s">
        <v>10</v>
      </c>
      <c r="F4" s="3" t="s">
        <v>19</v>
      </c>
      <c r="G4" s="3" t="s">
        <v>20</v>
      </c>
    </row>
    <row r="5" customFormat="false" ht="23.85" hidden="false" customHeight="false" outlineLevel="0" collapsed="false">
      <c r="A5" s="2" t="n">
        <v>4</v>
      </c>
      <c r="B5" s="3" t="s">
        <v>21</v>
      </c>
      <c r="C5" s="3" t="s">
        <v>22</v>
      </c>
      <c r="D5" s="2" t="s">
        <v>9</v>
      </c>
      <c r="E5" s="2" t="s">
        <v>10</v>
      </c>
      <c r="F5" s="3" t="s">
        <v>23</v>
      </c>
      <c r="G5" s="3" t="s">
        <v>24</v>
      </c>
    </row>
    <row r="6" customFormat="false" ht="23.85" hidden="false" customHeight="false" outlineLevel="0" collapsed="false">
      <c r="A6" s="2" t="n">
        <v>5</v>
      </c>
      <c r="B6" s="3" t="s">
        <v>25</v>
      </c>
      <c r="C6" s="3" t="s">
        <v>26</v>
      </c>
      <c r="D6" s="2" t="s">
        <v>9</v>
      </c>
      <c r="E6" s="2" t="s">
        <v>10</v>
      </c>
      <c r="F6" s="3" t="s">
        <v>27</v>
      </c>
      <c r="G6" s="3" t="s">
        <v>28</v>
      </c>
    </row>
    <row r="7" customFormat="false" ht="23.85" hidden="false" customHeight="false" outlineLevel="0" collapsed="false">
      <c r="A7" s="2" t="n">
        <v>6</v>
      </c>
      <c r="B7" s="3" t="s">
        <v>29</v>
      </c>
      <c r="C7" s="3" t="s">
        <v>26</v>
      </c>
      <c r="D7" s="2" t="s">
        <v>30</v>
      </c>
      <c r="E7" s="2" t="s">
        <v>10</v>
      </c>
      <c r="F7" s="3" t="s">
        <v>31</v>
      </c>
      <c r="G7" s="3" t="s">
        <v>32</v>
      </c>
    </row>
    <row r="8" customFormat="false" ht="23.85" hidden="false" customHeight="false" outlineLevel="0" collapsed="false">
      <c r="A8" s="2" t="n">
        <v>7</v>
      </c>
      <c r="B8" s="3" t="s">
        <v>33</v>
      </c>
      <c r="C8" s="3" t="s">
        <v>26</v>
      </c>
      <c r="D8" s="2" t="s">
        <v>9</v>
      </c>
      <c r="E8" s="2" t="s">
        <v>10</v>
      </c>
      <c r="F8" s="3" t="s">
        <v>34</v>
      </c>
      <c r="G8" s="3" t="s">
        <v>35</v>
      </c>
    </row>
    <row r="9" customFormat="false" ht="23.85" hidden="false" customHeight="false" outlineLevel="0" collapsed="false">
      <c r="A9" s="2" t="n">
        <v>8</v>
      </c>
      <c r="B9" s="3" t="s">
        <v>36</v>
      </c>
      <c r="C9" s="3" t="s">
        <v>26</v>
      </c>
      <c r="D9" s="2" t="s">
        <v>30</v>
      </c>
      <c r="E9" s="2" t="s">
        <v>10</v>
      </c>
      <c r="F9" s="3" t="s">
        <v>37</v>
      </c>
      <c r="G9" s="3" t="s">
        <v>38</v>
      </c>
    </row>
    <row r="10" customFormat="false" ht="23.85" hidden="false" customHeight="false" outlineLevel="0" collapsed="false">
      <c r="A10" s="2" t="n">
        <v>9</v>
      </c>
      <c r="B10" s="3" t="s">
        <v>39</v>
      </c>
      <c r="C10" s="3" t="s">
        <v>40</v>
      </c>
      <c r="D10" s="2" t="s">
        <v>30</v>
      </c>
      <c r="E10" s="2" t="s">
        <v>10</v>
      </c>
      <c r="F10" s="3" t="s">
        <v>41</v>
      </c>
      <c r="G10" s="3" t="s">
        <v>42</v>
      </c>
    </row>
    <row r="11" customFormat="false" ht="23.85" hidden="false" customHeight="false" outlineLevel="0" collapsed="false">
      <c r="A11" s="2" t="n">
        <v>10</v>
      </c>
      <c r="B11" s="3" t="s">
        <v>43</v>
      </c>
      <c r="C11" s="3" t="s">
        <v>40</v>
      </c>
      <c r="D11" s="2" t="s">
        <v>18</v>
      </c>
      <c r="E11" s="2" t="s">
        <v>10</v>
      </c>
      <c r="F11" s="3" t="s">
        <v>44</v>
      </c>
      <c r="G11" s="3" t="s">
        <v>45</v>
      </c>
    </row>
    <row r="12" customFormat="false" ht="23.85" hidden="false" customHeight="false" outlineLevel="0" collapsed="false">
      <c r="A12" s="2" t="n">
        <v>11</v>
      </c>
      <c r="B12" s="3" t="s">
        <v>46</v>
      </c>
      <c r="C12" s="3" t="s">
        <v>47</v>
      </c>
      <c r="D12" s="2" t="s">
        <v>9</v>
      </c>
      <c r="E12" s="2" t="s">
        <v>10</v>
      </c>
      <c r="F12" s="3" t="s">
        <v>48</v>
      </c>
      <c r="G12" s="3" t="s">
        <v>49</v>
      </c>
    </row>
    <row r="13" customFormat="false" ht="23.85" hidden="false" customHeight="false" outlineLevel="0" collapsed="false">
      <c r="A13" s="2" t="n">
        <v>12</v>
      </c>
      <c r="B13" s="3" t="s">
        <v>50</v>
      </c>
      <c r="C13" s="3" t="s">
        <v>47</v>
      </c>
      <c r="D13" s="2" t="s">
        <v>30</v>
      </c>
      <c r="E13" s="2" t="s">
        <v>10</v>
      </c>
      <c r="F13" s="3" t="s">
        <v>51</v>
      </c>
      <c r="G13" s="3" t="s">
        <v>52</v>
      </c>
    </row>
    <row r="14" customFormat="false" ht="23.85" hidden="false" customHeight="false" outlineLevel="0" collapsed="false">
      <c r="A14" s="2" t="n">
        <v>13</v>
      </c>
      <c r="B14" s="3" t="s">
        <v>53</v>
      </c>
      <c r="C14" s="3" t="s">
        <v>22</v>
      </c>
      <c r="D14" s="2" t="s">
        <v>30</v>
      </c>
      <c r="E14" s="2" t="s">
        <v>10</v>
      </c>
      <c r="F14" s="3" t="s">
        <v>54</v>
      </c>
      <c r="G14" s="3" t="s">
        <v>55</v>
      </c>
    </row>
    <row r="15" customFormat="false" ht="23.85" hidden="false" customHeight="false" outlineLevel="0" collapsed="false">
      <c r="A15" s="2" t="n">
        <v>14</v>
      </c>
      <c r="B15" s="3" t="s">
        <v>56</v>
      </c>
      <c r="C15" s="3" t="s">
        <v>22</v>
      </c>
      <c r="D15" s="2" t="s">
        <v>30</v>
      </c>
      <c r="E15" s="2" t="s">
        <v>10</v>
      </c>
      <c r="F15" s="3" t="s">
        <v>57</v>
      </c>
      <c r="G15" s="3" t="s">
        <v>58</v>
      </c>
    </row>
    <row r="16" customFormat="false" ht="23.85" hidden="false" customHeight="false" outlineLevel="0" collapsed="false">
      <c r="A16" s="2" t="n">
        <v>15</v>
      </c>
      <c r="B16" s="3" t="s">
        <v>59</v>
      </c>
      <c r="C16" s="3" t="s">
        <v>13</v>
      </c>
      <c r="D16" s="2" t="s">
        <v>18</v>
      </c>
      <c r="E16" s="2" t="s">
        <v>10</v>
      </c>
      <c r="F16" s="3" t="s">
        <v>60</v>
      </c>
      <c r="G16" s="3" t="s">
        <v>61</v>
      </c>
    </row>
    <row r="17" customFormat="false" ht="23.85" hidden="false" customHeight="false" outlineLevel="0" collapsed="false">
      <c r="A17" s="2" t="n">
        <v>16</v>
      </c>
      <c r="B17" s="3" t="s">
        <v>62</v>
      </c>
      <c r="C17" s="3" t="s">
        <v>63</v>
      </c>
      <c r="D17" s="2" t="s">
        <v>18</v>
      </c>
      <c r="E17" s="2" t="s">
        <v>10</v>
      </c>
      <c r="F17" s="3" t="s">
        <v>64</v>
      </c>
      <c r="G17" s="3" t="s">
        <v>65</v>
      </c>
    </row>
    <row r="18" customFormat="false" ht="35.05" hidden="false" customHeight="false" outlineLevel="0" collapsed="false">
      <c r="A18" s="2" t="n">
        <v>17</v>
      </c>
      <c r="B18" s="3" t="s">
        <v>66</v>
      </c>
      <c r="C18" s="3" t="s">
        <v>13</v>
      </c>
      <c r="D18" s="2" t="s">
        <v>30</v>
      </c>
      <c r="E18" s="2" t="s">
        <v>10</v>
      </c>
      <c r="F18" s="3" t="s">
        <v>67</v>
      </c>
      <c r="G18" s="3" t="s">
        <v>68</v>
      </c>
    </row>
    <row r="19" customFormat="false" ht="23.85" hidden="false" customHeight="false" outlineLevel="0" collapsed="false">
      <c r="A19" s="2" t="n">
        <v>18</v>
      </c>
      <c r="B19" s="3" t="s">
        <v>69</v>
      </c>
      <c r="C19" s="3" t="s">
        <v>26</v>
      </c>
      <c r="D19" s="2" t="s">
        <v>30</v>
      </c>
      <c r="E19" s="2" t="s">
        <v>10</v>
      </c>
      <c r="F19" s="3" t="s">
        <v>70</v>
      </c>
      <c r="G19" s="3" t="s">
        <v>71</v>
      </c>
    </row>
    <row r="20" customFormat="false" ht="15" hidden="false" customHeight="false" outlineLevel="0" collapsed="false">
      <c r="A20" s="2" t="n">
        <v>19</v>
      </c>
      <c r="B20" s="3" t="s">
        <v>72</v>
      </c>
      <c r="C20" s="3" t="s">
        <v>73</v>
      </c>
      <c r="D20" s="2" t="s">
        <v>9</v>
      </c>
      <c r="E20" s="2" t="s">
        <v>10</v>
      </c>
      <c r="F20" s="3" t="s">
        <v>74</v>
      </c>
      <c r="G20" s="3" t="s">
        <v>75</v>
      </c>
    </row>
    <row r="21" customFormat="false" ht="23.85" hidden="false" customHeight="false" outlineLevel="0" collapsed="false">
      <c r="A21" s="2" t="n">
        <v>20</v>
      </c>
      <c r="B21" s="3" t="s">
        <v>76</v>
      </c>
      <c r="C21" s="3" t="s">
        <v>77</v>
      </c>
      <c r="D21" s="2" t="s">
        <v>9</v>
      </c>
      <c r="E21" s="2" t="s">
        <v>10</v>
      </c>
      <c r="F21" s="3" t="s">
        <v>78</v>
      </c>
      <c r="G21" s="3" t="s">
        <v>79</v>
      </c>
    </row>
    <row r="22" customFormat="false" ht="15" hidden="false" customHeight="false" outlineLevel="0" collapsed="false">
      <c r="A22" s="4" t="n">
        <v>21</v>
      </c>
      <c r="B22" s="5" t="s">
        <v>80</v>
      </c>
      <c r="C22" s="5" t="s">
        <v>81</v>
      </c>
      <c r="D22" s="4" t="s">
        <v>18</v>
      </c>
      <c r="E22" s="4" t="s">
        <v>82</v>
      </c>
      <c r="F22" s="5" t="s">
        <v>83</v>
      </c>
      <c r="G22" s="5" t="s">
        <v>84</v>
      </c>
    </row>
    <row r="23" customFormat="false" ht="23.85" hidden="false" customHeight="false" outlineLevel="0" collapsed="false">
      <c r="A23" s="4" t="n">
        <v>22</v>
      </c>
      <c r="B23" s="5" t="s">
        <v>85</v>
      </c>
      <c r="C23" s="5" t="s">
        <v>86</v>
      </c>
      <c r="D23" s="4" t="s">
        <v>18</v>
      </c>
      <c r="E23" s="4" t="s">
        <v>82</v>
      </c>
      <c r="F23" s="5" t="s">
        <v>83</v>
      </c>
      <c r="G23" s="5" t="s">
        <v>87</v>
      </c>
    </row>
    <row r="24" customFormat="false" ht="15" hidden="false" customHeight="false" outlineLevel="0" collapsed="false">
      <c r="A24" s="4" t="n">
        <v>23</v>
      </c>
      <c r="B24" s="5" t="s">
        <v>88</v>
      </c>
      <c r="C24" s="5" t="s">
        <v>89</v>
      </c>
      <c r="D24" s="4" t="s">
        <v>18</v>
      </c>
      <c r="E24" s="4" t="s">
        <v>82</v>
      </c>
      <c r="F24" s="5" t="s">
        <v>83</v>
      </c>
      <c r="G24" s="5" t="s">
        <v>90</v>
      </c>
    </row>
    <row r="25" customFormat="false" ht="23.85" hidden="false" customHeight="false" outlineLevel="0" collapsed="false">
      <c r="A25" s="4" t="n">
        <v>24</v>
      </c>
      <c r="B25" s="5" t="s">
        <v>91</v>
      </c>
      <c r="C25" s="5" t="s">
        <v>92</v>
      </c>
      <c r="D25" s="4" t="s">
        <v>18</v>
      </c>
      <c r="E25" s="4" t="s">
        <v>82</v>
      </c>
      <c r="F25" s="5" t="s">
        <v>83</v>
      </c>
      <c r="G25" s="5" t="s">
        <v>93</v>
      </c>
    </row>
    <row r="26" customFormat="false" ht="23.85" hidden="false" customHeight="false" outlineLevel="0" collapsed="false">
      <c r="A26" s="4" t="n">
        <v>25</v>
      </c>
      <c r="B26" s="5" t="s">
        <v>94</v>
      </c>
      <c r="C26" s="5" t="s">
        <v>81</v>
      </c>
      <c r="D26" s="4" t="s">
        <v>30</v>
      </c>
      <c r="E26" s="4" t="s">
        <v>82</v>
      </c>
      <c r="F26" s="5" t="s">
        <v>83</v>
      </c>
      <c r="G26" s="5" t="s">
        <v>84</v>
      </c>
    </row>
  </sheetData>
  <autoFilter ref="A1:G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40"/>
  </cols>
  <sheetData>
    <row r="1" customFormat="false" ht="16.15" hidden="false" customHeight="false" outlineLevel="0" collapsed="false">
      <c r="A1" s="6" t="s">
        <v>95</v>
      </c>
    </row>
    <row r="3" customFormat="false" ht="15" hidden="false" customHeight="false" outlineLevel="0" collapsed="false">
      <c r="A3" s="7" t="s">
        <v>96</v>
      </c>
      <c r="B3" s="8" t="n">
        <f aca="false">COUNTA(Questions!B2:B26)</f>
        <v>25</v>
      </c>
    </row>
    <row r="4" customFormat="false" ht="15" hidden="false" customHeight="false" outlineLevel="0" collapsed="false">
      <c r="A4" s="7" t="s">
        <v>97</v>
      </c>
      <c r="B4" s="8" t="n">
        <f aca="false">COUNTIF(Questions!E2:E26,"Answerable")</f>
        <v>20</v>
      </c>
    </row>
    <row r="5" customFormat="false" ht="15" hidden="false" customHeight="false" outlineLevel="0" collapsed="false">
      <c r="A5" s="7" t="s">
        <v>98</v>
      </c>
      <c r="B5" s="8" t="n">
        <f aca="false">COUNTIF(Questions!E2:E26,"Unanswerable")</f>
        <v>5</v>
      </c>
    </row>
    <row r="6" customFormat="false" ht="15" hidden="false" customHeight="false" outlineLevel="0" collapsed="false">
      <c r="A6" s="7" t="s">
        <v>99</v>
      </c>
      <c r="B6" s="8" t="n">
        <f aca="false">COUNTIFS(Questions!D2:D26,"Easy",Questions!E2:E26,"Answerable")</f>
        <v>8</v>
      </c>
    </row>
    <row r="7" customFormat="false" ht="15" hidden="false" customHeight="false" outlineLevel="0" collapsed="false">
      <c r="A7" s="7" t="s">
        <v>100</v>
      </c>
      <c r="B7" s="8" t="n">
        <f aca="false">COUNTIFS(Questions!D2:D26,"Medium",Questions!E2:E26,"Answerable")</f>
        <v>8</v>
      </c>
    </row>
    <row r="8" customFormat="false" ht="15" hidden="false" customHeight="false" outlineLevel="0" collapsed="false">
      <c r="A8" s="7" t="s">
        <v>101</v>
      </c>
      <c r="B8" s="8" t="n">
        <f aca="false">COUNTIFS(Questions!D2:D26,"Hard",Questions!E2:E26,"Answerable")</f>
        <v>4</v>
      </c>
    </row>
    <row r="10" customFormat="false" ht="15" hidden="false" customHeight="false" outlineLevel="0" collapsed="false">
      <c r="A10" s="9" t="s">
        <v>102</v>
      </c>
    </row>
    <row r="11" customFormat="false" ht="42" hidden="false" customHeight="true" outlineLevel="0" collapsed="false">
      <c r="A11" s="10" t="s">
        <v>103</v>
      </c>
      <c r="B11" s="10"/>
    </row>
    <row r="12" customFormat="false" ht="42" hidden="false" customHeight="true" outlineLevel="0" collapsed="false">
      <c r="A12" s="10" t="s">
        <v>104</v>
      </c>
      <c r="B12" s="10"/>
    </row>
    <row r="13" customFormat="false" ht="42" hidden="false" customHeight="true" outlineLevel="0" collapsed="false">
      <c r="A13" s="10" t="s">
        <v>105</v>
      </c>
      <c r="B13" s="10"/>
    </row>
    <row r="14" customFormat="false" ht="42" hidden="false" customHeight="true" outlineLevel="0" collapsed="false">
      <c r="A14" s="10" t="s">
        <v>106</v>
      </c>
      <c r="B14" s="10"/>
    </row>
    <row r="15" customFormat="false" ht="42" hidden="false" customHeight="true" outlineLevel="0" collapsed="false">
      <c r="A15" s="10" t="s">
        <v>107</v>
      </c>
      <c r="B15" s="10"/>
    </row>
    <row r="16" customFormat="false" ht="42" hidden="false" customHeight="true" outlineLevel="0" collapsed="false">
      <c r="A16" s="10" t="s">
        <v>108</v>
      </c>
      <c r="B16" s="10"/>
    </row>
  </sheetData>
  <mergeCells count="6">
    <mergeCell ref="A11:B11"/>
    <mergeCell ref="A12:B12"/>
    <mergeCell ref="A13:B13"/>
    <mergeCell ref="A14:B14"/>
    <mergeCell ref="A15:B15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2026-10-06T13:43:46Z</dcterms:created>
  <dc:creator>openpyxl</dc:creator>
  <dc:description/>
  <dc:language>en-US</dc:language>
  <cp:lastModifiedBy/>
  <dcterms:modified xsi:type="dcterms:W3CDTF">2026-10-06T13:43:46Z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